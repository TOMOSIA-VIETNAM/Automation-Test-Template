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2460" firstSheet="1"/>
  </bookViews>
  <sheets>
    <sheet name="API_testing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<sst xmlns="http://schemas.openxmlformats.org/spreadsheetml/2006/main" count="205" uniqueCount="139">
  <si>
    <t>Pass</t>
  </si>
  <si>
    <t>Fail</t>
  </si>
  <si>
    <t>Pending</t>
  </si>
  <si>
    <t>N/T</t>
  </si>
  <si>
    <t>Total</t>
  </si>
  <si>
    <t>Result</t>
  </si>
  <si>
    <t>Result 1</t>
  </si>
  <si>
    <t>Result 2</t>
  </si>
  <si>
    <t>ID</t>
  </si>
  <si>
    <t>NAME</t>
  </si>
  <si>
    <t>PRE-CONDITION</t>
  </si>
  <si>
    <t>METHOD</t>
  </si>
  <si>
    <t>API</t>
  </si>
  <si>
    <t>REQUEST_HEADERS</t>
  </si>
  <si>
    <t>REQUEST_PARAMETERS</t>
  </si>
  <si>
    <t>REQUEST_BODY</t>
  </si>
  <si>
    <t>EXPECTED_STATUS</t>
  </si>
  <si>
    <t>EXPECTED_BODY</t>
  </si>
  <si>
    <t>cURL</t>
  </si>
  <si>
    <t>EXECUTION_STATUS</t>
  </si>
  <si>
    <t>NOTE/BUG</t>
  </si>
  <si>
    <t>EXECUTE_BY</t>
  </si>
  <si>
    <t>EXECUTE_DATE</t>
  </si>
  <si>
    <t xml:space="preserve">EXECUTION_STATUS  </t>
  </si>
  <si>
    <t xml:space="preserve">NOTE/BUG </t>
  </si>
  <si>
    <t xml:space="preserve">EXECUTE_BY  </t>
  </si>
  <si>
    <t xml:space="preserve">EXECUTE_DATE </t>
  </si>
  <si>
    <t>Column1</t>
  </si>
  <si>
    <t>TC_001</t>
  </si>
  <si>
    <t>Admin login thành công</t>
  </si>
  <si>
    <t>Admin account exists with email " admin02@libman.com" and password "000000"</t>
  </si>
  <si>
    <t>POST</t>
  </si>
  <si>
    <t>/admin/login</t>
  </si>
  <si>
    <t>Content-Type: application/json</t>
  </si>
  <si>
    <t>{"email":"admin02@libman.com","password":"000000"}</t>
  </si>
  <si>
    <t>{"code":"200","msg":"","data":{admin_object}}</t>
  </si>
  <si>
    <t>http://localhost:9090/admin/login</t>
  </si>
  <si>
    <t/>
  </si>
  <si>
    <t>Minh</t>
  </si>
  <si>
    <t>2026-01-09</t>
  </si>
  <si>
    <t>MinhMinh</t>
  </si>
  <si>
    <t>TC_002</t>
  </si>
  <si>
    <t>Admin login với email trống</t>
  </si>
  <si>
    <t>{"email":"","password":"123456"}</t>
  </si>
  <si>
    <t>{"code":"400","msg":"メールアドレスを入力してください"}</t>
  </si>
  <si>
    <t>TC_003</t>
  </si>
  <si>
    <t>z`</t>
  </si>
  <si>
    <t>Admin account exists</t>
  </si>
  <si>
    <t>{"email":"admin@test.com","password":"wrongpass"}</t>
  </si>
  <si>
    <t>{"code":"400","msg":"メールアドレスまたはパスワードが間違っています"}</t>
  </si>
  <si>
    <t>TC_004</t>
  </si>
  <si>
    <t>Thêm user thành công</t>
  </si>
  <si>
    <t>/user/save</t>
  </si>
  <si>
    <t>{"email":"user1@test.com","username":"User1","fname":"First","lname":"Last","phone":"1234567890","age":25,"gender":"Male","uid":"U001"}</t>
  </si>
  <si>
    <t>{"code":"200","msg":""}</t>
  </si>
  <si>
    <t>http://localhost:9090/user/save</t>
  </si>
  <si>
    <t>TC_005</t>
  </si>
  <si>
    <t>Thêm user với email không hợp lệ</t>
  </si>
  <si>
    <t>{"email":"invalid-email","username":"User1","fname":"First","lname":"Last","phone":"1234567890"}</t>
  </si>
  <si>
    <t>{"code":"400","msg":"不正なメールアドレス"}</t>
  </si>
  <si>
    <t>TC_006</t>
  </si>
  <si>
    <t>Thêm user với age không phải số</t>
  </si>
  <si>
    <t>{"email":"user2@test.com","username":"User2","age":"abc"}</t>
  </si>
  <si>
    <t>{"code":"400","msg":"数値を入力してください"}</t>
  </si>
  <si>
    <t>TC_007</t>
  </si>
  <si>
    <t>Nạp tiền user thành công</t>
  </si>
  <si>
    <t>User exists with email "user1@test.com"</t>
  </si>
  <si>
    <t>/user/charge</t>
  </si>
  <si>
    <t>{"email":"user1@test.com","charge":100}</t>
  </si>
  <si>
    <t>http://localhost:9090/user/charge</t>
  </si>
  <si>
    <t>TC_008</t>
  </si>
  <si>
    <t>Xóa user thành công</t>
  </si>
  <si>
    <t>DELETE</t>
  </si>
  <si>
    <t>/user/delete/{email}</t>
  </si>
  <si>
    <t>email=user1@test.com</t>
  </si>
  <si>
    <t>http://localhost:9090/user/delete/user1@test.com</t>
  </si>
  <si>
    <t>TC_009</t>
  </si>
  <si>
    <t>Lấy danh sách user phân trang</t>
  </si>
  <si>
    <t>Multiple users exist</t>
  </si>
  <si>
    <t>GET</t>
  </si>
  <si>
    <t>/user/page</t>
  </si>
  <si>
    <t>pageNum=1&amp;pageSize=10</t>
  </si>
  <si>
    <t>{"code":"200","data":{"list":[...],"total":10}}</t>
  </si>
  <si>
    <t>http://localhost:9090/user/page?pageNum=1&amp;pageSize=10</t>
  </si>
  <si>
    <t>TC_010</t>
  </si>
  <si>
    <t>Thêm sách thành công</t>
  </si>
  <si>
    <t>/book/save</t>
  </si>
  <si>
    <t>{"isbn":"1234567890","name":"Test Book","description":"Description","category":"Fiction","publish_date":"2024-01-01","author":"Author Name","publisher":"Publisher","credit":10,"number":5}</t>
  </si>
  <si>
    <t>http://localhost:9090/book/save</t>
  </si>
  <si>
    <t>TC_011</t>
  </si>
  <si>
    <t>Thêm sách với ISBN trống</t>
  </si>
  <si>
    <t>{"isbn":"","name":"Test Book","author":"Author"}</t>
  </si>
  <si>
    <t>{"code":"400","msg":"書籍のISBNを入力してください"}</t>
  </si>
  <si>
    <t>TC_012</t>
  </si>
  <si>
    <t>Thêm sách với ISBN không hợp lệ</t>
  </si>
  <si>
    <t>{"isbn":"123","name":"Test Book"}</t>
  </si>
  <si>
    <t>{"code":"400","msg":"不正なISBN"}</t>
  </si>
  <si>
    <t>TC_013</t>
  </si>
  <si>
    <t>Cập nhật sách thành công</t>
  </si>
  <si>
    <t>Book exists with ISBN "1234567890"</t>
  </si>
  <si>
    <t>PUT</t>
  </si>
  <si>
    <t>/book/update</t>
  </si>
  <si>
    <t>{"isbn":"1234567890","name":"Updated Book","author":"New Author","publisher":"New Publisher","credit":15,"number":10}</t>
  </si>
  <si>
    <t>http://localhost:9090/book/update</t>
  </si>
  <si>
    <t>TC_014</t>
  </si>
  <si>
    <t>Xóa sách thành công</t>
  </si>
  <si>
    <t>/book/delete/{isbn}</t>
  </si>
  <si>
    <t>isbn=1234567890</t>
  </si>
  <si>
    <t>http://localhost:9090/book/delete/1234567890</t>
  </si>
  <si>
    <t>TC_015</t>
  </si>
  <si>
    <t>Lấy thông tin sách theo ISBN</t>
  </si>
  <si>
    <t>/book/{isbn}</t>
  </si>
  <si>
    <t>{"code":"200","data":{book_object}}</t>
  </si>
  <si>
    <t>http://localhost:9090/book/1234567890</t>
  </si>
  <si>
    <t>TC_016</t>
  </si>
  <si>
    <t>Mượn sách thành công</t>
  </si>
  <si>
    <t>User "user1@test.com" exists, Book "1234567890" exists with number&gt;0, User has enough credit</t>
  </si>
  <si>
    <t>/borrow/save</t>
  </si>
  <si>
    <t>{"email":"user1@test.com","isbn":"1234567890","duration":7}</t>
  </si>
  <si>
    <t>http://localhost:9090/borrow/save</t>
  </si>
  <si>
    <t>TC_017</t>
  </si>
  <si>
    <t>Mượn sách khi user không tồn tại</t>
  </si>
  <si>
    <t>{"email":"notexist@test.com","isbn":"1234567890","duration":7}</t>
  </si>
  <si>
    <t>{"code":"400","msg":"ユーザーが存在しません"}</t>
  </si>
  <si>
    <t>TC_018</t>
  </si>
  <si>
    <t>Mượn sách khi credit không đủ</t>
  </si>
  <si>
    <t>User exists but credit &lt; book credit</t>
  </si>
  <si>
    <t>{"code":"400","msg":"アカウントのクレジットが不足しています"}</t>
  </si>
  <si>
    <t>TC_019</t>
  </si>
  <si>
    <t>Trả sách thành công</t>
  </si>
  <si>
    <t>Borrow record exists for user1@test.com and ISBN 1234567890</t>
  </si>
  <si>
    <t>/retern/save</t>
  </si>
  <si>
    <t>{"email":"user1@test.com","isbn":"1234567890","id":1}</t>
  </si>
  <si>
    <t>http://localhost:9090/retern/save</t>
  </si>
  <si>
    <t>TC_020</t>
  </si>
  <si>
    <t>Thêm category thành công</t>
  </si>
  <si>
    <t>/category/save</t>
  </si>
  <si>
    <t>{"name":"Fiction","remark":"Fiction books category"}</t>
  </si>
  <si>
    <t>http://localhost:9090/category/save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</si>
</sst>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30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color rgb="FFFF0000"/>
      <name val="Times New Roman"/>
      <charset val="134"/>
    </font>
    <font>
      <sz val="12"/>
      <color theme="1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4"/>
      <color theme="0"/>
      <name val="Calibri"/>
      <charset val="134"/>
      <scheme val="minor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8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top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4" borderId="2" xfId="0" applyFont="1" applyFill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176" fontId="9" fillId="0" borderId="2" xfId="0" applyNumberFormat="1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10" fillId="0" borderId="0" xfId="0" applyFont="1" applyAlignment="1">
      <alignment wrapText="1"/>
    </xf>
    <xf numFmtId="0" fontId="0" fillId="0" borderId="6" xfId="0" applyFont="1" applyBorder="1" applyAlignment="1">
      <alignment horizontal="left" vertical="top" wrapText="1"/>
    </xf>
    <xf numFmtId="176" fontId="0" fillId="0" borderId="2" xfId="0" applyNumberFormat="1" applyFont="1" applyBorder="1" applyAlignment="1">
      <alignment horizontal="left" vertical="top" wrapText="1"/>
    </xf>
    <xf numFmtId="176" fontId="9" fillId="0" borderId="4" xfId="0" applyNumberFormat="1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176" fontId="9" fillId="0" borderId="1" xfId="0" applyNumberFormat="1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434" displayName="Table434" ref="A6:T26" headerRowCount="0">
  <autoFilter xmlns:etc="http://www.wps.cn/officeDocument/2017/etCustomData" ref="A5:T26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ID"/>
    <tableColumn id="2" name="NAME"/>
    <tableColumn id="3" name="PRE-CONDITION"/>
    <tableColumn id="4" name="METHOD"/>
    <tableColumn id="5" name="API"/>
    <tableColumn id="6" name="REQUEST_HEADERS"/>
    <tableColumn id="7" name="REQUEST_PARAMETERS"/>
    <tableColumn id="8" name="REQUEST_BODY"/>
    <tableColumn id="9" name="EXPECTED_STATUS"/>
    <tableColumn id="10" name="EXPECTED_BODY"/>
    <tableColumn id="11" name="cURL"/>
    <tableColumn id="12" name="EXECUTION_STATUS"/>
    <tableColumn id="13" name="NOTE/BUG"/>
    <tableColumn id="14" name="EXECUTE_BY"/>
    <tableColumn id="15" name="EXECUTE_DATE"/>
    <tableColumn id="16" name="EXECUTION_STATUS  "/>
    <tableColumn id="17" name="NOTE/BUG "/>
    <tableColumn id="18" name="EXECUTE_BY  "/>
    <tableColumn id="19" name="EXECUTE_DATE "/>
    <tableColumn id="20" name="Column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localhost:9090/book/save" TargetMode="External"/><Relationship Id="rId8" Type="http://schemas.openxmlformats.org/officeDocument/2006/relationships/hyperlink" Target="http://localhost:9090/user/page?pageNum=1&amp;pageSize=10" TargetMode="External"/><Relationship Id="rId7" Type="http://schemas.openxmlformats.org/officeDocument/2006/relationships/hyperlink" Target="http://localhost:9090/user/delete/user1@test.com" TargetMode="External"/><Relationship Id="rId6" Type="http://schemas.openxmlformats.org/officeDocument/2006/relationships/hyperlink" Target="http://localhost:9090/user/charge" TargetMode="External"/><Relationship Id="rId5" Type="http://schemas.openxmlformats.org/officeDocument/2006/relationships/hyperlink" Target="mailto:user1@test.com" TargetMode="External"/><Relationship Id="rId4" Type="http://schemas.openxmlformats.org/officeDocument/2006/relationships/hyperlink" Target="http://localhost:9090/user/save" TargetMode="External"/><Relationship Id="rId3" Type="http://schemas.openxmlformats.org/officeDocument/2006/relationships/hyperlink" Target="http://localhost:9090/admin/login" TargetMode="External"/><Relationship Id="rId2" Type="http://schemas.openxmlformats.org/officeDocument/2006/relationships/hyperlink" Target="mailto:admin@test.com" TargetMode="External"/><Relationship Id="rId15" Type="http://schemas.openxmlformats.org/officeDocument/2006/relationships/hyperlink" Target="http://localhost:9090/category/save" TargetMode="External"/><Relationship Id="rId14" Type="http://schemas.openxmlformats.org/officeDocument/2006/relationships/hyperlink" Target="http://localhost:9090/retern/save" TargetMode="External"/><Relationship Id="rId13" Type="http://schemas.openxmlformats.org/officeDocument/2006/relationships/hyperlink" Target="http://localhost:9090/borrow/save" TargetMode="External"/><Relationship Id="rId12" Type="http://schemas.openxmlformats.org/officeDocument/2006/relationships/hyperlink" Target="http://localhost:9090/book/1234567890" TargetMode="External"/><Relationship Id="rId11" Type="http://schemas.openxmlformats.org/officeDocument/2006/relationships/hyperlink" Target="http://localhost:9090/book/delete/1234567890" TargetMode="External"/><Relationship Id="rId10" Type="http://schemas.openxmlformats.org/officeDocument/2006/relationships/hyperlink" Target="http://localhost:9090/book/update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T28"/>
  <sheetViews>
    <sheetView tabSelected="1" topLeftCell="A7" workbookViewId="0">
      <selection activeCell="F7" sqref="F7"/>
    </sheetView>
  </sheetViews>
  <sheetFormatPr defaultColWidth="10.875" defaultRowHeight="18.75" customHeight="1"/>
  <cols>
    <col min="1" max="1" width="7.125" style="1" customWidth="1"/>
    <col min="2" max="2" width="29.375" style="1" customWidth="1"/>
    <col min="3" max="3" width="16.1171875" style="1" customWidth="1"/>
    <col min="4" max="4" width="14.625" style="1" customWidth="1"/>
    <col min="5" max="5" width="16.875" style="1" customWidth="1"/>
    <col min="6" max="6" width="17" style="1" customWidth="1"/>
    <col min="7" max="7" width="20.625" style="1" customWidth="1"/>
    <col min="8" max="8" width="35.125" style="1" customWidth="1"/>
    <col min="9" max="9" width="21.75" style="1" customWidth="1"/>
    <col min="10" max="10" width="19.5" style="1" customWidth="1"/>
    <col min="11" max="11" width="23.6796875" style="1" customWidth="1"/>
    <col min="12" max="12" width="23.625" style="1" customWidth="1"/>
    <col min="13" max="13" width="29" style="1" customWidth="1"/>
    <col min="14" max="14" width="21.25" style="1" customWidth="1"/>
    <col min="15" max="15" width="22.0546875" style="1" customWidth="1"/>
    <col min="16" max="16" width="18.875" style="1" customWidth="1"/>
    <col min="17" max="17" width="30.5" style="1" customWidth="1"/>
    <col min="18" max="18" width="18.5" style="1" customWidth="1"/>
    <col min="19" max="19" width="34.125" style="1" customWidth="1"/>
    <col min="20" max="20" width="23.625" style="1" customWidth="1"/>
    <col min="21" max="16384" width="10.875" style="1" customWidth="1"/>
  </cols>
  <sheetData>
    <row r="1" ht="16.8" spans="2:7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7" t="s">
        <v>5</v>
      </c>
    </row>
    <row r="2" ht="16.8" spans="2:7">
      <c r="B2" s="4">
        <f>COUNTIF(L7:L91,"Pass")</f>
        <v>1</v>
      </c>
      <c r="C2" s="4">
        <f>COUNTIF(L7:L91,"Fail")</f>
        <v>0</v>
      </c>
      <c r="D2" s="4">
        <f>COUNTIF(L7:L91,"Pending")</f>
        <v>0</v>
      </c>
      <c r="E2" s="4">
        <f>COUNTIF(L7:L91,"N/A")</f>
        <v>0</v>
      </c>
      <c r="F2" s="4">
        <f>SUM(B2:E2)</f>
        <v>1</v>
      </c>
      <c r="G2" s="8" t="s">
        <v>6</v>
      </c>
    </row>
    <row r="3" ht="16.8" spans="2:7">
      <c r="B3" s="4">
        <f>COUNTIF(P3:P92,"Pass")</f>
        <v>1</v>
      </c>
      <c r="C3" s="4">
        <f>COUNTIF(P6:P92,"Fail")</f>
        <v>0</v>
      </c>
      <c r="D3" s="4">
        <f>COUNTIF(P7:P92,"Pending")</f>
        <v>0</v>
      </c>
      <c r="E3" s="4">
        <f>COUNTIF(P7:P92,"N/A")</f>
        <v>0</v>
      </c>
      <c r="F3" s="4">
        <f>SUM(B3:E3)</f>
        <v>1</v>
      </c>
      <c r="G3" s="9" t="s">
        <v>7</v>
      </c>
    </row>
    <row r="5" s="1" customFormat="1" ht="20.4" spans="12:19">
      <c r="L5" s="10" t="s">
        <v>6</v>
      </c>
      <c r="M5" s="10"/>
      <c r="N5" s="10"/>
      <c r="O5" s="10"/>
      <c r="P5" s="10" t="s">
        <v>7</v>
      </c>
      <c r="Q5" s="10"/>
      <c r="R5" s="10"/>
      <c r="S5" s="10"/>
    </row>
    <row r="6" s="2" customFormat="1" ht="17.6" customHeight="1" spans="1:20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4" t="s">
        <v>23</v>
      </c>
      <c r="Q6" s="14" t="s">
        <v>24</v>
      </c>
      <c r="R6" s="14" t="s">
        <v>25</v>
      </c>
      <c r="S6" s="14" t="s">
        <v>26</v>
      </c>
      <c r="T6" s="2" t="s">
        <v>27</v>
      </c>
    </row>
    <row r="7" ht="186.95" customHeight="1" spans="1:20">
      <c r="A7" s="6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/>
      <c r="H7" s="6" t="s">
        <v>34</v>
      </c>
      <c r="I7" s="6">
        <v>200</v>
      </c>
      <c r="J7" s="6" t="s">
        <v>35</v>
      </c>
      <c r="K7" s="6" t="s">
        <v>36</v>
      </c>
      <c r="L7" s="12" t="s">
        <v>0</v>
      </c>
      <c r="M7" s="15" t="s">
        <v>37</v>
      </c>
      <c r="N7" s="16" t="s">
        <v>38</v>
      </c>
      <c r="O7" s="15" t="s">
        <v>39</v>
      </c>
      <c r="P7" s="16" t="s">
        <v>0</v>
      </c>
      <c r="Q7" s="23" t="s">
        <v>37</v>
      </c>
      <c r="R7" s="23" t="s">
        <v>40</v>
      </c>
      <c r="S7" s="23" t="s">
        <v>39</v>
      </c>
      <c r="T7" s="23"/>
    </row>
    <row r="8" ht="201.95" customHeight="1" spans="1:20">
      <c r="A8" s="6" t="s">
        <v>41</v>
      </c>
      <c r="B8" s="6" t="s">
        <v>42</v>
      </c>
      <c r="C8" s="6"/>
      <c r="D8" s="6" t="s">
        <v>31</v>
      </c>
      <c r="E8" s="6" t="s">
        <v>32</v>
      </c>
      <c r="F8" s="6" t="s">
        <v>33</v>
      </c>
      <c r="G8" s="6"/>
      <c r="H8" s="6" t="s">
        <v>43</v>
      </c>
      <c r="I8" s="6">
        <v>400</v>
      </c>
      <c r="J8" s="6" t="s">
        <v>44</v>
      </c>
      <c r="K8" s="6" t="s">
        <v>36</v>
      </c>
      <c r="L8" s="12"/>
      <c r="M8" s="15"/>
      <c r="N8" s="16"/>
      <c r="O8" s="15"/>
      <c r="P8" s="16"/>
      <c r="Q8" s="23"/>
      <c r="R8" s="23"/>
      <c r="S8" s="23"/>
      <c r="T8" s="23"/>
    </row>
    <row r="9" ht="201.95" customHeight="1" spans="1:20">
      <c r="A9" s="6" t="s">
        <v>45</v>
      </c>
      <c r="B9" s="6" t="s">
        <v>46</v>
      </c>
      <c r="C9" s="6" t="s">
        <v>47</v>
      </c>
      <c r="D9" s="6" t="s">
        <v>31</v>
      </c>
      <c r="E9" s="6" t="s">
        <v>32</v>
      </c>
      <c r="F9" s="6" t="s">
        <v>33</v>
      </c>
      <c r="G9" s="6"/>
      <c r="H9" s="6" t="s">
        <v>48</v>
      </c>
      <c r="I9" s="6">
        <v>400</v>
      </c>
      <c r="J9" s="6" t="s">
        <v>49</v>
      </c>
      <c r="K9" s="6" t="s">
        <v>36</v>
      </c>
      <c r="L9" s="12"/>
      <c r="M9" s="17"/>
      <c r="N9" s="18"/>
      <c r="O9" s="19"/>
      <c r="P9" s="16"/>
      <c r="Q9" s="23"/>
      <c r="R9" s="23"/>
      <c r="S9" s="23"/>
      <c r="T9" s="23"/>
    </row>
    <row r="10" ht="201.95" customHeight="1" spans="1:20">
      <c r="A10" s="6" t="s">
        <v>50</v>
      </c>
      <c r="B10" s="6" t="s">
        <v>51</v>
      </c>
      <c r="C10" s="6"/>
      <c r="D10" s="6" t="s">
        <v>31</v>
      </c>
      <c r="E10" s="6" t="s">
        <v>52</v>
      </c>
      <c r="F10" s="6" t="s">
        <v>33</v>
      </c>
      <c r="G10" s="6"/>
      <c r="H10" s="6" t="s">
        <v>53</v>
      </c>
      <c r="I10" s="6">
        <v>200</v>
      </c>
      <c r="J10" s="6" t="s">
        <v>54</v>
      </c>
      <c r="K10" s="6" t="s">
        <v>55</v>
      </c>
      <c r="L10" s="12"/>
      <c r="M10" s="17"/>
      <c r="N10" s="16"/>
      <c r="O10" s="15"/>
      <c r="P10" s="16"/>
      <c r="Q10" s="23"/>
      <c r="R10" s="23"/>
      <c r="S10" s="23"/>
      <c r="T10" s="23"/>
    </row>
    <row r="11" ht="201.95" customHeight="1" spans="1:20">
      <c r="A11" s="6" t="s">
        <v>56</v>
      </c>
      <c r="B11" s="6" t="s">
        <v>57</v>
      </c>
      <c r="C11" s="6"/>
      <c r="D11" s="6" t="s">
        <v>31</v>
      </c>
      <c r="E11" s="6" t="s">
        <v>52</v>
      </c>
      <c r="F11" s="6" t="s">
        <v>33</v>
      </c>
      <c r="G11" s="6"/>
      <c r="H11" s="6" t="s">
        <v>58</v>
      </c>
      <c r="I11" s="6">
        <v>400</v>
      </c>
      <c r="J11" s="6" t="s">
        <v>59</v>
      </c>
      <c r="K11" s="6" t="s">
        <v>55</v>
      </c>
      <c r="L11" s="12"/>
      <c r="M11" s="17"/>
      <c r="N11" s="18"/>
      <c r="O11" s="19"/>
      <c r="P11" s="16"/>
      <c r="Q11" s="23"/>
      <c r="R11" s="23"/>
      <c r="S11" s="23"/>
      <c r="T11" s="23"/>
    </row>
    <row r="12" ht="201.95" customHeight="1" spans="1:20">
      <c r="A12" s="6" t="s">
        <v>60</v>
      </c>
      <c r="B12" s="6" t="s">
        <v>61</v>
      </c>
      <c r="C12" s="6"/>
      <c r="D12" s="6" t="s">
        <v>31</v>
      </c>
      <c r="E12" s="6" t="s">
        <v>52</v>
      </c>
      <c r="F12" s="6" t="s">
        <v>33</v>
      </c>
      <c r="G12" s="6"/>
      <c r="H12" s="6" t="s">
        <v>62</v>
      </c>
      <c r="I12" s="6">
        <v>400</v>
      </c>
      <c r="J12" s="6" t="s">
        <v>63</v>
      </c>
      <c r="K12" s="6" t="s">
        <v>55</v>
      </c>
      <c r="L12" s="12"/>
      <c r="M12" s="17"/>
      <c r="N12" s="16"/>
      <c r="O12" s="15"/>
      <c r="P12" s="16"/>
      <c r="Q12" s="23"/>
      <c r="R12" s="23"/>
      <c r="S12" s="23"/>
      <c r="T12" s="23"/>
    </row>
    <row r="13" ht="201.95" customHeight="1" spans="1:20">
      <c r="A13" s="6" t="s">
        <v>64</v>
      </c>
      <c r="B13" s="6" t="s">
        <v>65</v>
      </c>
      <c r="C13" s="6" t="s">
        <v>66</v>
      </c>
      <c r="D13" s="6" t="s">
        <v>31</v>
      </c>
      <c r="E13" s="6" t="s">
        <v>67</v>
      </c>
      <c r="F13" s="6" t="s">
        <v>33</v>
      </c>
      <c r="G13" s="6"/>
      <c r="H13" s="6" t="s">
        <v>68</v>
      </c>
      <c r="I13" s="6">
        <v>200</v>
      </c>
      <c r="J13" s="6" t="s">
        <v>54</v>
      </c>
      <c r="K13" s="6" t="s">
        <v>69</v>
      </c>
      <c r="L13" s="12"/>
      <c r="M13" s="17"/>
      <c r="N13" s="18"/>
      <c r="O13" s="19"/>
      <c r="P13" s="16"/>
      <c r="Q13" s="23"/>
      <c r="R13" s="23"/>
      <c r="S13" s="23"/>
      <c r="T13" s="23"/>
    </row>
    <row r="14" ht="201.95" customHeight="1" spans="1:20">
      <c r="A14" s="6" t="s">
        <v>70</v>
      </c>
      <c r="B14" s="6" t="s">
        <v>71</v>
      </c>
      <c r="C14" s="6" t="s">
        <v>66</v>
      </c>
      <c r="D14" s="6" t="s">
        <v>72</v>
      </c>
      <c r="E14" s="6" t="s">
        <v>73</v>
      </c>
      <c r="F14" s="6"/>
      <c r="G14" s="6" t="s">
        <v>74</v>
      </c>
      <c r="H14" s="6"/>
      <c r="I14" s="6">
        <v>200</v>
      </c>
      <c r="J14" s="6" t="s">
        <v>54</v>
      </c>
      <c r="K14" s="6" t="s">
        <v>75</v>
      </c>
      <c r="L14" s="12"/>
      <c r="M14" s="17"/>
      <c r="N14" s="16"/>
      <c r="O14" s="15"/>
      <c r="P14" s="16"/>
      <c r="Q14" s="23"/>
      <c r="R14" s="23"/>
      <c r="S14" s="23"/>
      <c r="T14" s="23"/>
    </row>
    <row r="15" ht="201.95" customHeight="1" spans="1:20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  <c r="F15" s="6"/>
      <c r="G15" s="6" t="s">
        <v>81</v>
      </c>
      <c r="H15" s="6"/>
      <c r="I15" s="6">
        <v>200</v>
      </c>
      <c r="J15" s="6" t="s">
        <v>82</v>
      </c>
      <c r="K15" s="6" t="s">
        <v>83</v>
      </c>
      <c r="L15" s="12"/>
      <c r="M15" s="17"/>
      <c r="N15" s="16"/>
      <c r="O15" s="15"/>
      <c r="P15" s="16"/>
      <c r="Q15" s="23"/>
      <c r="R15" s="23"/>
      <c r="S15" s="23"/>
      <c r="T15" s="23"/>
    </row>
    <row r="16" ht="201.95" customHeight="1" spans="1:20">
      <c r="A16" s="6" t="s">
        <v>84</v>
      </c>
      <c r="B16" s="6" t="s">
        <v>85</v>
      </c>
      <c r="C16" s="6"/>
      <c r="D16" s="6" t="s">
        <v>31</v>
      </c>
      <c r="E16" s="6" t="s">
        <v>86</v>
      </c>
      <c r="F16" s="6" t="s">
        <v>33</v>
      </c>
      <c r="G16" s="6"/>
      <c r="H16" s="6" t="s">
        <v>87</v>
      </c>
      <c r="I16" s="6">
        <v>200</v>
      </c>
      <c r="J16" s="6" t="s">
        <v>54</v>
      </c>
      <c r="K16" s="6" t="s">
        <v>88</v>
      </c>
      <c r="L16" s="12"/>
      <c r="M16" s="15"/>
      <c r="N16" s="16"/>
      <c r="O16" s="15"/>
      <c r="P16" s="16"/>
      <c r="Q16" s="23"/>
      <c r="R16" s="23"/>
      <c r="S16" s="23"/>
      <c r="T16" s="23"/>
    </row>
    <row r="17" ht="201.95" customHeight="1" spans="1:20">
      <c r="A17" s="6" t="s">
        <v>89</v>
      </c>
      <c r="B17" s="6" t="s">
        <v>90</v>
      </c>
      <c r="C17" s="6"/>
      <c r="D17" s="6" t="s">
        <v>31</v>
      </c>
      <c r="E17" s="6" t="s">
        <v>86</v>
      </c>
      <c r="F17" s="6" t="s">
        <v>33</v>
      </c>
      <c r="G17" s="6"/>
      <c r="H17" s="6" t="s">
        <v>91</v>
      </c>
      <c r="I17" s="6">
        <v>400</v>
      </c>
      <c r="J17" s="6" t="s">
        <v>92</v>
      </c>
      <c r="K17" s="6" t="s">
        <v>88</v>
      </c>
      <c r="L17" s="12"/>
      <c r="M17" s="15"/>
      <c r="N17" s="18"/>
      <c r="O17" s="19"/>
      <c r="P17" s="16"/>
      <c r="Q17" s="23"/>
      <c r="R17" s="23"/>
      <c r="S17" s="23"/>
      <c r="T17" s="23"/>
    </row>
    <row r="18" ht="201.95" customHeight="1" spans="1:20">
      <c r="A18" s="6" t="s">
        <v>93</v>
      </c>
      <c r="B18" s="6" t="s">
        <v>94</v>
      </c>
      <c r="C18" s="6"/>
      <c r="D18" s="6" t="s">
        <v>31</v>
      </c>
      <c r="E18" s="6" t="s">
        <v>86</v>
      </c>
      <c r="F18" s="6" t="s">
        <v>33</v>
      </c>
      <c r="G18" s="6"/>
      <c r="H18" s="6" t="s">
        <v>95</v>
      </c>
      <c r="I18" s="6">
        <v>400</v>
      </c>
      <c r="J18" s="6" t="s">
        <v>96</v>
      </c>
      <c r="K18" s="6" t="s">
        <v>88</v>
      </c>
      <c r="L18" s="12"/>
      <c r="M18" s="15"/>
      <c r="N18" s="18"/>
      <c r="O18" s="19"/>
      <c r="P18" s="16"/>
      <c r="Q18" s="23"/>
      <c r="R18" s="23"/>
      <c r="S18" s="23"/>
      <c r="T18" s="23"/>
    </row>
    <row r="19" ht="201.95" customHeight="1" spans="1:20">
      <c r="A19" s="6" t="s">
        <v>97</v>
      </c>
      <c r="B19" s="6" t="s">
        <v>98</v>
      </c>
      <c r="C19" s="6" t="s">
        <v>99</v>
      </c>
      <c r="D19" s="6" t="s">
        <v>100</v>
      </c>
      <c r="E19" s="6" t="s">
        <v>101</v>
      </c>
      <c r="F19" s="6" t="s">
        <v>33</v>
      </c>
      <c r="G19" s="6"/>
      <c r="H19" s="6" t="s">
        <v>102</v>
      </c>
      <c r="I19" s="6">
        <v>200</v>
      </c>
      <c r="J19" s="6" t="s">
        <v>54</v>
      </c>
      <c r="K19" s="6" t="s">
        <v>103</v>
      </c>
      <c r="L19" s="12"/>
      <c r="M19" s="15"/>
      <c r="N19" s="18"/>
      <c r="O19" s="19"/>
      <c r="P19" s="16"/>
      <c r="Q19" s="23"/>
      <c r="R19" s="23"/>
      <c r="S19" s="23"/>
      <c r="T19" s="23"/>
    </row>
    <row r="20" ht="201.95" customHeight="1" spans="1:20">
      <c r="A20" s="6" t="s">
        <v>104</v>
      </c>
      <c r="B20" s="6" t="s">
        <v>105</v>
      </c>
      <c r="C20" s="6" t="s">
        <v>99</v>
      </c>
      <c r="D20" s="6" t="s">
        <v>72</v>
      </c>
      <c r="E20" s="6" t="s">
        <v>106</v>
      </c>
      <c r="F20" s="6"/>
      <c r="G20" s="6" t="s">
        <v>107</v>
      </c>
      <c r="H20" s="6"/>
      <c r="I20" s="6">
        <v>200</v>
      </c>
      <c r="J20" s="6" t="s">
        <v>54</v>
      </c>
      <c r="K20" s="6" t="s">
        <v>108</v>
      </c>
      <c r="L20" s="12"/>
      <c r="M20" s="20"/>
      <c r="N20" s="21"/>
      <c r="O20" s="19"/>
      <c r="P20" s="16"/>
      <c r="Q20" s="23"/>
      <c r="R20" s="23"/>
      <c r="S20" s="23"/>
      <c r="T20" s="23"/>
    </row>
    <row r="21" ht="201.95" customHeight="1" spans="1:20">
      <c r="A21" s="6" t="s">
        <v>109</v>
      </c>
      <c r="B21" s="6" t="s">
        <v>110</v>
      </c>
      <c r="C21" s="6" t="s">
        <v>99</v>
      </c>
      <c r="D21" s="6" t="s">
        <v>79</v>
      </c>
      <c r="E21" s="6" t="s">
        <v>111</v>
      </c>
      <c r="F21" s="6"/>
      <c r="G21" s="6" t="s">
        <v>107</v>
      </c>
      <c r="H21" s="6"/>
      <c r="I21" s="6">
        <v>200</v>
      </c>
      <c r="J21" s="6" t="s">
        <v>112</v>
      </c>
      <c r="K21" s="6" t="s">
        <v>113</v>
      </c>
      <c r="L21" s="13"/>
      <c r="M21" s="15"/>
      <c r="N21" s="12"/>
      <c r="O21" s="22"/>
      <c r="P21" s="18"/>
      <c r="Q21" s="23"/>
      <c r="R21" s="23"/>
      <c r="S21" s="23"/>
      <c r="T21" s="23"/>
    </row>
    <row r="22" ht="201.95" customHeight="1" spans="1:20">
      <c r="A22" s="6" t="s">
        <v>114</v>
      </c>
      <c r="B22" s="6" t="s">
        <v>115</v>
      </c>
      <c r="C22" s="6" t="s">
        <v>116</v>
      </c>
      <c r="D22" s="6" t="s">
        <v>31</v>
      </c>
      <c r="E22" s="6" t="s">
        <v>117</v>
      </c>
      <c r="F22" s="6" t="s">
        <v>33</v>
      </c>
      <c r="G22" s="6"/>
      <c r="H22" s="6" t="s">
        <v>118</v>
      </c>
      <c r="I22" s="6">
        <v>200</v>
      </c>
      <c r="J22" s="6" t="s">
        <v>54</v>
      </c>
      <c r="K22" s="6" t="s">
        <v>119</v>
      </c>
      <c r="L22" s="13"/>
      <c r="M22" s="15"/>
      <c r="N22" s="12"/>
      <c r="O22" s="22"/>
      <c r="P22" s="18"/>
      <c r="Q22" s="23"/>
      <c r="R22" s="23"/>
      <c r="S22" s="23"/>
      <c r="T22" s="23"/>
    </row>
    <row r="23" ht="201.95" customHeight="1" spans="1:20">
      <c r="A23" s="6" t="s">
        <v>120</v>
      </c>
      <c r="B23" s="6" t="s">
        <v>121</v>
      </c>
      <c r="C23" s="6"/>
      <c r="D23" s="6" t="s">
        <v>31</v>
      </c>
      <c r="E23" s="6" t="s">
        <v>117</v>
      </c>
      <c r="F23" s="6" t="s">
        <v>33</v>
      </c>
      <c r="G23" s="6"/>
      <c r="H23" s="6" t="s">
        <v>122</v>
      </c>
      <c r="I23" s="6">
        <v>400</v>
      </c>
      <c r="J23" s="6" t="s">
        <v>123</v>
      </c>
      <c r="K23" s="6" t="s">
        <v>119</v>
      </c>
      <c r="L23" s="13"/>
      <c r="M23" s="15"/>
      <c r="N23" s="12"/>
      <c r="O23" s="22"/>
      <c r="P23" s="18"/>
      <c r="Q23" s="23"/>
      <c r="R23" s="23"/>
      <c r="S23" s="23"/>
      <c r="T23" s="23"/>
    </row>
    <row r="24" ht="201.95" customHeight="1" spans="1:20">
      <c r="A24" s="6" t="s">
        <v>124</v>
      </c>
      <c r="B24" s="6" t="s">
        <v>125</v>
      </c>
      <c r="C24" s="6" t="s">
        <v>126</v>
      </c>
      <c r="D24" s="6" t="s">
        <v>31</v>
      </c>
      <c r="E24" s="6" t="s">
        <v>117</v>
      </c>
      <c r="F24" s="6" t="s">
        <v>33</v>
      </c>
      <c r="G24" s="6"/>
      <c r="H24" s="6" t="s">
        <v>118</v>
      </c>
      <c r="I24" s="6">
        <v>400</v>
      </c>
      <c r="J24" s="6" t="s">
        <v>127</v>
      </c>
      <c r="K24" s="6" t="s">
        <v>119</v>
      </c>
      <c r="L24" s="13"/>
      <c r="M24" s="15"/>
      <c r="N24" s="12"/>
      <c r="O24" s="22"/>
      <c r="P24" s="18"/>
      <c r="Q24" s="23"/>
      <c r="R24" s="23"/>
      <c r="S24" s="23"/>
      <c r="T24" s="23"/>
    </row>
    <row r="25" ht="201.95" customHeight="1" spans="1:20">
      <c r="A25" s="6" t="s">
        <v>128</v>
      </c>
      <c r="B25" s="6" t="s">
        <v>129</v>
      </c>
      <c r="C25" s="6" t="s">
        <v>130</v>
      </c>
      <c r="D25" s="6" t="s">
        <v>31</v>
      </c>
      <c r="E25" s="6" t="s">
        <v>131</v>
      </c>
      <c r="F25" s="6" t="s">
        <v>33</v>
      </c>
      <c r="G25" s="6"/>
      <c r="H25" s="6" t="s">
        <v>132</v>
      </c>
      <c r="I25" s="6">
        <v>200</v>
      </c>
      <c r="J25" s="6" t="s">
        <v>54</v>
      </c>
      <c r="K25" s="6" t="s">
        <v>133</v>
      </c>
      <c r="L25" s="13"/>
      <c r="M25" s="15"/>
      <c r="N25" s="12"/>
      <c r="O25" s="22"/>
      <c r="P25" s="18"/>
      <c r="Q25" s="23"/>
      <c r="R25" s="23"/>
      <c r="S25" s="23"/>
      <c r="T25" s="23"/>
    </row>
    <row r="26" ht="201.95" customHeight="1" spans="1:20">
      <c r="A26" s="6" t="s">
        <v>134</v>
      </c>
      <c r="B26" s="6" t="s">
        <v>135</v>
      </c>
      <c r="C26" s="6"/>
      <c r="D26" s="6" t="s">
        <v>31</v>
      </c>
      <c r="E26" s="6" t="s">
        <v>136</v>
      </c>
      <c r="F26" s="6" t="s">
        <v>33</v>
      </c>
      <c r="G26" s="6"/>
      <c r="H26" s="6" t="s">
        <v>137</v>
      </c>
      <c r="I26" s="6">
        <v>200</v>
      </c>
      <c r="J26" s="6" t="s">
        <v>54</v>
      </c>
      <c r="K26" s="6" t="s">
        <v>138</v>
      </c>
      <c r="L26" s="13"/>
      <c r="M26" s="15"/>
      <c r="N26" s="12"/>
      <c r="O26" s="22"/>
      <c r="P26" s="18"/>
      <c r="Q26" s="23"/>
      <c r="R26" s="23"/>
      <c r="S26" s="23"/>
      <c r="T26" s="23"/>
    </row>
    <row r="27" ht="201.95" customHeight="1"/>
    <row r="28" ht="17.6" customHeight="1"/>
  </sheetData>
  <conditionalFormatting sqref="P7:P26 L7:L96">
    <cfRule type="containsText" dxfId="0" priority="9" operator="between" text="Pass">
      <formula>NOT(ISERROR(SEARCH("Pass",L7)))</formula>
    </cfRule>
    <cfRule type="containsText" dxfId="1" priority="10" operator="between" text="Fail">
      <formula>NOT(ISERROR(SEARCH("Fail",L7)))</formula>
    </cfRule>
  </conditionalFormatting>
  <dataValidations count="4">
    <dataValidation showInputMessage="1" showErrorMessage="1" sqref="D1:D6 D27:D1048576"/>
    <dataValidation type="list" allowBlank="1" showInputMessage="1" showErrorMessage="1" sqref="L7:L26">
      <formula1>"Pass, Fail, N/A, Skip"</formula1>
    </dataValidation>
    <dataValidation type="list" allowBlank="1" showInputMessage="1" showErrorMessage="1" sqref="N7:N26">
      <formula1>#REF!</formula1>
    </dataValidation>
    <dataValidation type="list" allowBlank="1" showInputMessage="1" showErrorMessage="1" sqref="P7:P26">
      <formula1>"Pass, Fail, N/T, Pending"</formula1>
    </dataValidation>
  </dataValidations>
  <hyperlinks>
    <hyperlink ref="C7" r:id="rId2" display="Admin account exists with email &quot; admin02@libman.com&quot; and password &quot;000000&quot;"/>
    <hyperlink ref="K7" r:id="rId3" display="http://localhost:9090/admin/login"/>
    <hyperlink ref="K8" r:id="rId3" display="http://localhost:9090/admin/login"/>
    <hyperlink ref="K9" r:id="rId3" display="http://localhost:9090/admin/login"/>
    <hyperlink ref="K10" r:id="rId4" display="http://localhost:9090/user/save"/>
    <hyperlink ref="K11" r:id="rId4" display="http://localhost:9090/user/save"/>
    <hyperlink ref="K12" r:id="rId4" display="http://localhost:9090/user/save"/>
    <hyperlink ref="C13" r:id="rId5" display="User exists with email &quot;user1@test.com&quot;"/>
    <hyperlink ref="K13" r:id="rId6" display="http://localhost:9090/user/charge"/>
    <hyperlink ref="C14" r:id="rId5" display="User exists with email &quot;user1@test.com&quot;"/>
    <hyperlink ref="G14" r:id="rId5" display="email=user1@test.com"/>
    <hyperlink ref="K14" r:id="rId7" display="http://localhost:9090/user/delete/user1@test.com"/>
    <hyperlink ref="K15" r:id="rId8" display="http://localhost:9090/user/page?pageNum=1&amp;pageSize=10"/>
    <hyperlink ref="K16" r:id="rId9" display="http://localhost:9090/book/save"/>
    <hyperlink ref="K17" r:id="rId9" display="http://localhost:9090/book/save"/>
    <hyperlink ref="K18" r:id="rId9" display="http://localhost:9090/book/save"/>
    <hyperlink ref="K19" r:id="rId10" display="http://localhost:9090/book/update"/>
    <hyperlink ref="K20" r:id="rId11" display="http://localhost:9090/book/delete/1234567890"/>
    <hyperlink ref="K21" r:id="rId12" display="http://localhost:9090/book/1234567890"/>
    <hyperlink ref="C22" r:id="rId5" display="User &quot;user1@test.com&quot; exists, Book &quot;1234567890&quot; exists with number&gt;0, User has enough credit"/>
    <hyperlink ref="K22" r:id="rId13" display="http://localhost:9090/borrow/save"/>
    <hyperlink ref="K23" r:id="rId13" display="http://localhost:9090/borrow/save"/>
    <hyperlink ref="K24" r:id="rId13" display="http://localhost:9090/borrow/save"/>
    <hyperlink ref="C25" r:id="rId5" display="Borrow record exists for user1@test.com and ISBN 1234567890"/>
    <hyperlink ref="K25" r:id="rId14" display="http://localhost:9090/retern/save"/>
    <hyperlink ref="K26" r:id="rId15" display="http://localhost:9090/category/save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Trinh</dc:creator>
  <cp:lastModifiedBy>phinguyen</cp:lastModifiedBy>
  <dcterms:created xsi:type="dcterms:W3CDTF">2023-11-16T22:29:00Z</dcterms:created>
  <dcterms:modified xsi:type="dcterms:W3CDTF">2026-01-12T17:01:20Z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1FF67DA459B80E5C297760692D31A7B9_42</vt:lpwstr>
  </property>
  <property fmtid="{D5CDD505-2E9C-101B-9397-08002B2CF9AE}" pid="3" name="KSOProductBuildVer">
    <vt:lpwstr>1033-12.1.23152.23152</vt:lpwstr>
  </property>
</Properties>
</file>