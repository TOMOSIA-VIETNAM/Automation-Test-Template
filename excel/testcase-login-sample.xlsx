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2460" activeTab="1"/>
  </bookViews>
  <sheets>
    <sheet name="Common - Message" sheetId="9" r:id="rId1"/>
    <sheet name="Login" sheetId="11" r:id="rId2"/>
  </sheets>
  <definedNames>
    <definedName name="_xlnm.Print_Area" localSheetId="1">Login!$A1:$Y12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<sst xmlns="http://schemas.openxmlformats.org/spreadsheetml/2006/main" count="72" uniqueCount="67">
  <si>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message code</t>
  </si>
  <si>
    <t>Message</t>
  </si>
  <si>
    <t xml:space="preserve">メッセージ </t>
  </si>
  <si>
    <t xml:space="preserve">message_01 </t>
  </si>
  <si>
    <t>This field is required</t>
  </si>
  <si>
    <t>この項目は必須です</t>
  </si>
  <si>
    <t>message_02</t>
  </si>
  <si>
    <t>Special characters are not allowed in Full Name</t>
  </si>
  <si>
    <t>氏名には特殊文字を使用できません</t>
  </si>
  <si>
    <t>message_03</t>
  </si>
  <si>
    <t>Numbers are not allowed in Full Name</t>
  </si>
  <si>
    <t>氏名には数字を使用できません</t>
  </si>
  <si>
    <t>message_04</t>
  </si>
  <si>
    <t>Full Name must not exceed the maximum length (255 characters)</t>
  </si>
  <si>
    <t>氏名は最大長（255文字）を超えてはいけません</t>
  </si>
  <si>
    <t>message_05</t>
  </si>
  <si>
    <t>Full Name does not meet the minimum length requirement</t>
  </si>
  <si>
    <t>氏名が最小文字数の要件を満たしていません</t>
  </si>
  <si>
    <t>message_06</t>
  </si>
  <si>
    <t>Please enter using half-width characters.</t>
  </si>
  <si>
    <t>半角で入力してください。</t>
  </si>
  <si>
    <t>message_07</t>
  </si>
  <si>
    <t>Please enter using full-width characters.</t>
  </si>
  <si>
    <t>全角で入力してください。</t>
  </si>
  <si>
    <t>Business Classification</t>
  </si>
  <si>
    <t>Block</t>
  </si>
  <si>
    <t>Pass</t>
  </si>
  <si>
    <t>Fail</t>
  </si>
  <si>
    <t xml:space="preserve"> Skip</t>
  </si>
  <si>
    <t>Total</t>
  </si>
  <si>
    <t xml:space="preserve"> Result</t>
  </si>
  <si>
    <t>Creater</t>
  </si>
  <si>
    <t>Reviewer</t>
  </si>
  <si>
    <t>Version</t>
  </si>
  <si>
    <t>B</t>
  </si>
  <si>
    <t>F</t>
  </si>
  <si>
    <t>Date</t>
  </si>
  <si>
    <t>高い
High</t>
  </si>
  <si>
    <t>普通
Medium</t>
  </si>
  <si>
    <t>低い
Low</t>
  </si>
  <si>
    <t>P</t>
  </si>
  <si>
    <t>Skip</t>
  </si>
  <si>
    <t>S</t>
  </si>
  <si>
    <t>Round 1</t>
  </si>
  <si>
    <t>Round 2</t>
  </si>
  <si>
    <t xml:space="preserve">
No.</t>
  </si>
  <si>
    <t xml:space="preserve"> 
Test case ID</t>
  </si>
  <si>
    <t xml:space="preserve">
Category</t>
  </si>
  <si>
    <t xml:space="preserve">
Priorty</t>
  </si>
  <si>
    <t xml:space="preserve"> 
Type	</t>
  </si>
  <si>
    <t xml:space="preserve">
Big</t>
  </si>
  <si>
    <t xml:space="preserve">
Medium</t>
  </si>
  <si>
    <t xml:space="preserve">
Small</t>
  </si>
  <si>
    <t xml:space="preserve">
Precondition</t>
  </si>
  <si>
    <t xml:space="preserve"> 
Auto Method Name</t>
  </si>
  <si>
    <t xml:space="preserve">
Folder Name</t>
  </si>
  <si>
    <t xml:space="preserve"> 
Test Data (Input)</t>
  </si>
  <si>
    <t xml:space="preserve">
Step</t>
  </si>
  <si>
    <t xml:space="preserve">
Assertion (Validation)</t>
  </si>
  <si>
    <t xml:space="preserve">
Date</t>
  </si>
  <si>
    <t xml:space="preserve">
Tester</t>
  </si>
  <si>
    <t xml:space="preserve">
Result 1</t>
  </si>
  <si>
    <t xml:space="preserve">
Bug ID</t>
  </si>
  <si>
    <t xml:space="preserve">
ReportLink</t>
  </si>
  <si>
    <t>結果
Result 2</t>
  </si>
  <si>
    <t>不具合ID
Bug ID</t>
  </si>
  <si>
    <t xml:space="preserve">
レポートへのリンク
ReportLink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</si>
</sst>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3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2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0"/>
      <color rgb="FF000000"/>
      <name val="Arial"/>
      <charset val="134"/>
    </font>
    <font>
      <sz val="12"/>
      <color rgb="FF000000"/>
      <name val="Arial"/>
      <charset val="134"/>
    </font>
    <font>
      <sz val="11"/>
      <color rgb="FF000000"/>
      <name val="Arial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274E13"/>
        <bgColor rgb="FF4BACC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58" fontId="6" fillId="0" borderId="2" xfId="0" applyNumberFormat="1" applyFont="1" applyBorder="1" applyAlignment="1">
      <alignment vertical="center"/>
    </xf>
    <xf numFmtId="0" fontId="7" fillId="0" borderId="3" xfId="0" applyFont="1" applyBorder="1" applyAlignment="1">
      <alignment wrapText="1"/>
    </xf>
    <xf numFmtId="0" fontId="5" fillId="2" borderId="4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8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2" fillId="0" borderId="2" xfId="0" applyFont="1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9"/>
  <sheetViews>
    <sheetView workbookViewId="0">
      <selection activeCell="C16" sqref="C16"/>
    </sheetView>
  </sheetViews>
  <sheetFormatPr defaultColWidth="8.8359375" defaultRowHeight="16.8" outlineLevelCol="3"/>
  <cols>
    <col min="1" max="1" width="4.8359375" customWidth="1"/>
    <col min="2" max="2" width="14.1640625" customWidth="1"/>
    <col min="3" max="3" width="58.5" customWidth="1"/>
    <col min="4" max="4" width="55.6640625" customWidth="1"/>
    <col min="5" max="5" width="24.1640625" customWidth="1"/>
  </cols>
  <sheetData>
    <row r="2" spans="2:4">
      <c r="B2" s="44" t="s">
        <v>0</v>
      </c>
      <c r="C2" s="44" t="s">
        <v>1</v>
      </c>
      <c r="D2" s="44" t="s">
        <v>2</v>
      </c>
    </row>
    <row r="3" spans="2:4">
      <c r="B3" s="45" t="s">
        <v>3</v>
      </c>
      <c r="C3" s="46" t="s">
        <v>4</v>
      </c>
      <c r="D3" s="47" t="s">
        <v>5</v>
      </c>
    </row>
    <row r="4" spans="2:4">
      <c r="B4" s="45" t="s">
        <v>6</v>
      </c>
      <c r="C4" s="47" t="s">
        <v>7</v>
      </c>
      <c r="D4" s="47" t="s">
        <v>8</v>
      </c>
    </row>
    <row r="5" spans="2:4">
      <c r="B5" s="45" t="s">
        <v>9</v>
      </c>
      <c r="C5" s="47" t="s">
        <v>10</v>
      </c>
      <c r="D5" s="47" t="s">
        <v>11</v>
      </c>
    </row>
    <row r="6" spans="2:4">
      <c r="B6" s="45" t="s">
        <v>12</v>
      </c>
      <c r="C6" s="47" t="s">
        <v>13</v>
      </c>
      <c r="D6" s="47" t="s">
        <v>14</v>
      </c>
    </row>
    <row r="7" spans="2:4">
      <c r="B7" s="45" t="s">
        <v>15</v>
      </c>
      <c r="C7" s="47" t="s">
        <v>16</v>
      </c>
      <c r="D7" s="47" t="s">
        <v>17</v>
      </c>
    </row>
    <row r="8" spans="2:4">
      <c r="B8" s="45" t="s">
        <v>18</v>
      </c>
      <c r="C8" s="47" t="s">
        <v>19</v>
      </c>
      <c r="D8" s="47" t="s">
        <v>20</v>
      </c>
    </row>
    <row r="9" spans="2:4">
      <c r="B9" s="45" t="s">
        <v>21</v>
      </c>
      <c r="C9" s="47" t="s">
        <v>22</v>
      </c>
      <c r="D9" s="47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"/>
  <sheetViews>
    <sheetView tabSelected="1" view="pageBreakPreview" zoomScaleNormal="100" topLeftCell="A6" workbookViewId="0">
      <selection activeCell="U10" sqref="U10"/>
    </sheetView>
  </sheetViews>
  <sheetFormatPr defaultColWidth="4" defaultRowHeight="16" customHeight="1"/>
  <cols>
    <col min="1" max="1" width="4" style="4" customWidth="1"/>
    <col min="2" max="2" width="6.3359375" style="4" customWidth="1"/>
    <col min="3" max="3" width="16.8359375" style="4" customWidth="1"/>
    <col min="4" max="4" width="16.6640625" style="4" customWidth="1"/>
    <col min="5" max="5" width="12.6640625" style="4" customWidth="1"/>
    <col min="6" max="6" width="16" style="4" customWidth="1"/>
    <col min="7" max="7" width="22.5" style="4" customWidth="1"/>
    <col min="8" max="8" width="22" style="4" customWidth="1"/>
    <col min="9" max="9" width="25.1640625" style="4" customWidth="1"/>
    <col min="10" max="10" width="44.1640625" style="4" customWidth="1"/>
    <col min="11" max="11" width="42.6640625" style="4" customWidth="1"/>
    <col min="12" max="12" width="37.6640625" style="4" customWidth="1"/>
    <col min="13" max="13" width="29.3359375" style="4" customWidth="1"/>
    <col min="14" max="14" width="40.3359375" style="4" customWidth="1"/>
    <col min="15" max="15" width="50.8359375" style="4" customWidth="1"/>
    <col min="16" max="16" width="13.6640625" style="4" customWidth="1"/>
    <col min="17" max="17" width="16" style="4" customWidth="1"/>
    <col min="18" max="18" width="14.5" style="4" customWidth="1"/>
    <col min="19" max="19" width="15.5" style="4" customWidth="1"/>
    <col min="20" max="20" width="42" style="4" customWidth="1"/>
    <col min="21" max="21" width="26.1640625" style="4" customWidth="1"/>
    <col min="22" max="22" width="24" style="4" customWidth="1"/>
    <col min="23" max="23" width="11" style="4" customWidth="1"/>
    <col min="24" max="24" width="11.5" style="4" customWidth="1"/>
    <col min="25" max="25" width="59.8359375" style="4" customWidth="1"/>
    <col min="26" max="26" width="4" style="4" customWidth="1"/>
    <col min="27" max="16384" width="4" style="4"/>
  </cols>
  <sheetData>
    <row r="1" ht="36" customHeight="1" spans="1:45">
      <c r="A1" s="5"/>
      <c r="B1" s="6" t="s">
        <v>24</v>
      </c>
      <c r="C1" s="7"/>
      <c r="D1" s="8"/>
      <c r="E1" s="17"/>
      <c r="F1" s="17"/>
      <c r="G1" s="18"/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23" t="s">
        <v>30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</row>
    <row r="2" s="1" customFormat="1" ht="36" customHeight="1" spans="1:45">
      <c r="A2" s="9"/>
      <c r="B2" s="6" t="s">
        <v>31</v>
      </c>
      <c r="C2" s="10"/>
      <c r="D2" s="8"/>
      <c r="E2" s="17"/>
      <c r="F2" s="17"/>
      <c r="G2" s="19"/>
      <c r="H2" s="20">
        <f>COUNTIF($R$9:$R$12,"B")</f>
        <v>0</v>
      </c>
      <c r="I2" s="20">
        <f>COUNTIF($R$9:$R$12,"P")</f>
        <v>0</v>
      </c>
      <c r="J2" s="20">
        <f>COUNTIF($R$8:$R$12,"F")</f>
        <v>0</v>
      </c>
      <c r="K2" s="20">
        <f>COUNTIF($R$9:$R$12,"S")</f>
        <v>0</v>
      </c>
      <c r="L2" s="20">
        <f>COUNTA($R$9:$R$12)</f>
        <v>0</v>
      </c>
      <c r="M2" s="24" t="str">
        <f>IF(J2&gt;0,"FAIL",IF(H2&gt;0,"B",IF(L2=I2,"Pass",IF(L2=0,"NOT RUN","IN PROGRESS"))))</f>
        <v>Pass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="1" customFormat="1" ht="43.5" customHeight="1" spans="1:45">
      <c r="A3" s="9"/>
      <c r="B3" s="6" t="s">
        <v>32</v>
      </c>
      <c r="C3" s="10"/>
      <c r="D3" s="8"/>
      <c r="E3" s="17"/>
      <c r="F3" s="17"/>
      <c r="G3" s="19"/>
      <c r="H3" s="20">
        <f>COUNTIF($W$9:$W$12,"B")</f>
        <v>0</v>
      </c>
      <c r="I3" s="20">
        <f>COUNTIF($W$9:$W$12,"P")</f>
        <v>0</v>
      </c>
      <c r="J3" s="20">
        <f>COUNTIF($W$9:$W$12,"F")</f>
        <v>0</v>
      </c>
      <c r="K3" s="20">
        <f>COUNTIF($W$9:$W$12,"S")</f>
        <v>0</v>
      </c>
      <c r="L3" s="20">
        <f>COUNTA($W$9:$W$12)</f>
        <v>0</v>
      </c>
      <c r="M3" s="25" t="str">
        <f>IF(J3&gt;0,"FAIL",IF(H3&gt;0,"B",IF(L3=I3,"Pass",IF(L3=0,"NOT RUN","IN PROGRESS"))))</f>
        <v>Pass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="1" customFormat="1" ht="36" customHeight="1" spans="1:45">
      <c r="A4" s="9"/>
      <c r="B4" s="6" t="s">
        <v>33</v>
      </c>
      <c r="C4" s="10"/>
      <c r="D4" s="8"/>
      <c r="E4" s="17"/>
      <c r="F4" s="17"/>
      <c r="G4" s="19"/>
      <c r="H4" s="19"/>
      <c r="I4" s="19"/>
      <c r="J4" s="19"/>
      <c r="K4" s="19"/>
      <c r="L4" s="19"/>
      <c r="M4" s="19"/>
      <c r="N4" s="19"/>
      <c r="O4" s="19"/>
      <c r="P4" s="26" t="s">
        <v>25</v>
      </c>
      <c r="Q4" s="26" t="s">
        <v>34</v>
      </c>
      <c r="R4" s="36" t="s">
        <v>27</v>
      </c>
      <c r="S4" s="36" t="s">
        <v>35</v>
      </c>
      <c r="T4" s="19"/>
      <c r="U4" s="19"/>
      <c r="V4" s="19"/>
      <c r="W4" s="19"/>
      <c r="X4" s="19"/>
      <c r="Y4" s="19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="1" customFormat="1" ht="35.25" customHeight="1" spans="1:45">
      <c r="A5" s="9"/>
      <c r="B5" s="6" t="s">
        <v>36</v>
      </c>
      <c r="C5" s="10"/>
      <c r="D5" s="11"/>
      <c r="E5" s="21"/>
      <c r="F5" s="21"/>
      <c r="G5" s="19"/>
      <c r="H5" s="6" t="s">
        <v>37</v>
      </c>
      <c r="I5" s="6" t="s">
        <v>38</v>
      </c>
      <c r="J5" s="6" t="s">
        <v>39</v>
      </c>
      <c r="K5" s="19"/>
      <c r="L5" s="19"/>
      <c r="M5" s="19"/>
      <c r="N5" s="19"/>
      <c r="O5" s="19"/>
      <c r="P5" s="27" t="s">
        <v>26</v>
      </c>
      <c r="Q5" s="26" t="s">
        <v>40</v>
      </c>
      <c r="R5" s="36" t="s">
        <v>41</v>
      </c>
      <c r="S5" s="36" t="s">
        <v>42</v>
      </c>
      <c r="T5" s="19"/>
      <c r="U5" s="19"/>
      <c r="V5" s="19"/>
      <c r="W5" s="19"/>
      <c r="X5" s="19"/>
      <c r="Y5" s="19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ht="33.75" customHeight="1" spans="8:45">
      <c r="H6" s="22">
        <f>COUNTIF($E$9:$E$12,"High")</f>
        <v>0</v>
      </c>
      <c r="I6" s="22">
        <f>COUNTIF($E$9:$E$12,"Medium")</f>
        <v>0</v>
      </c>
      <c r="J6" s="22">
        <f>COUNTIF($E$9:$E$12,"Low")</f>
        <v>0</v>
      </c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</row>
    <row r="7" ht="17.6" spans="2:2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8"/>
      <c r="P7" s="29" t="s">
        <v>43</v>
      </c>
      <c r="Q7" s="37"/>
      <c r="R7" s="37"/>
      <c r="S7" s="37"/>
      <c r="T7" s="38"/>
      <c r="U7" s="39" t="s">
        <v>44</v>
      </c>
      <c r="V7" s="40"/>
      <c r="W7" s="40"/>
      <c r="X7" s="40"/>
      <c r="Y7" s="40"/>
    </row>
    <row r="8" s="1" customFormat="1" ht="56.25" customHeight="1" spans="1:45">
      <c r="A8" s="9"/>
      <c r="B8" s="13" t="s">
        <v>45</v>
      </c>
      <c r="C8" s="13" t="s">
        <v>46</v>
      </c>
      <c r="D8" s="13" t="s">
        <v>47</v>
      </c>
      <c r="E8" s="13" t="s">
        <v>48</v>
      </c>
      <c r="F8" s="13" t="s">
        <v>49</v>
      </c>
      <c r="G8" s="13" t="s">
        <v>50</v>
      </c>
      <c r="H8" s="13" t="s">
        <v>51</v>
      </c>
      <c r="I8" s="13" t="s">
        <v>52</v>
      </c>
      <c r="J8" s="13" t="s">
        <v>53</v>
      </c>
      <c r="K8" s="13" t="s">
        <v>54</v>
      </c>
      <c r="L8" s="13" t="s">
        <v>55</v>
      </c>
      <c r="M8" s="13" t="s">
        <v>56</v>
      </c>
      <c r="N8" s="30" t="s">
        <v>57</v>
      </c>
      <c r="O8" s="31" t="s">
        <v>58</v>
      </c>
      <c r="P8" s="32" t="s">
        <v>59</v>
      </c>
      <c r="Q8" s="13" t="s">
        <v>60</v>
      </c>
      <c r="R8" s="13" t="s">
        <v>61</v>
      </c>
      <c r="S8" s="13" t="s">
        <v>62</v>
      </c>
      <c r="T8" s="13" t="s">
        <v>63</v>
      </c>
      <c r="U8" s="41" t="s">
        <v>59</v>
      </c>
      <c r="V8" s="41" t="s">
        <v>60</v>
      </c>
      <c r="W8" s="41" t="s">
        <v>64</v>
      </c>
      <c r="X8" s="41" t="s">
        <v>65</v>
      </c>
      <c r="Y8" s="41" t="s">
        <v>66</v>
      </c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="2" customFormat="1" ht="56.25" customHeight="1" spans="2:25">
      <c r="B9" s="14"/>
      <c r="C9" s="14"/>
      <c r="D9" s="15"/>
      <c r="E9" s="15"/>
      <c r="F9" s="15"/>
      <c r="G9" s="15"/>
      <c r="H9" s="14"/>
      <c r="I9" s="2"/>
      <c r="J9" s="14"/>
      <c r="K9" s="14"/>
      <c r="L9" s="14"/>
      <c r="M9" s="14"/>
      <c r="N9" s="14"/>
      <c r="O9" s="33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="3" customFormat="1" ht="60" customHeight="1" spans="2:23">
      <c r="B10" s="16"/>
      <c r="C10" s="16"/>
      <c r="D10" s="16"/>
      <c r="E10" s="16"/>
      <c r="F10" s="16"/>
      <c r="G10" s="16"/>
      <c r="H10" s="16"/>
      <c r="I10" s="3"/>
      <c r="J10" s="16"/>
      <c r="K10" s="16"/>
      <c r="L10" s="16"/>
      <c r="M10" s="16"/>
      <c r="N10" s="16"/>
      <c r="O10" s="34"/>
      <c r="P10" s="35"/>
      <c r="Q10" s="3"/>
      <c r="R10" s="3"/>
      <c r="U10" s="35"/>
      <c r="V10" s="3"/>
      <c r="W10" s="16"/>
    </row>
    <row r="11" s="3" customFormat="1" ht="62.25" customHeight="1" spans="2:23">
      <c r="B11" s="16"/>
      <c r="C11" s="16"/>
      <c r="D11" s="16"/>
      <c r="E11" s="16"/>
      <c r="F11" s="16"/>
      <c r="G11" s="16"/>
      <c r="H11" s="16"/>
      <c r="I11" s="3"/>
      <c r="J11" s="16"/>
      <c r="K11" s="16"/>
      <c r="L11" s="16"/>
      <c r="M11" s="16"/>
      <c r="N11" s="16"/>
      <c r="O11" s="34"/>
      <c r="P11" s="35"/>
      <c r="R11" s="16"/>
      <c r="U11" s="35"/>
      <c r="W11" s="16"/>
    </row>
    <row r="12" s="3" customFormat="1" ht="45.75" customHeight="1" spans="2:23">
      <c r="B12" s="16"/>
      <c r="C12" s="16"/>
      <c r="D12" s="16"/>
      <c r="E12" s="16"/>
      <c r="F12" s="16"/>
      <c r="G12" s="16"/>
      <c r="H12" s="16"/>
      <c r="I12" s="3"/>
      <c r="J12" s="16"/>
      <c r="K12" s="16"/>
      <c r="L12" s="16"/>
      <c r="M12" s="16"/>
      <c r="N12" s="16"/>
      <c r="O12" s="34"/>
      <c r="R12" s="16"/>
      <c r="W12" s="16"/>
    </row>
  </sheetData>
  <mergeCells count="12">
    <mergeCell ref="B1:C1"/>
    <mergeCell ref="D1:F1"/>
    <mergeCell ref="B2:C2"/>
    <mergeCell ref="D2:F2"/>
    <mergeCell ref="B3:C3"/>
    <mergeCell ref="D3:F3"/>
    <mergeCell ref="B4:C4"/>
    <mergeCell ref="D4:F4"/>
    <mergeCell ref="B5:C5"/>
    <mergeCell ref="D5:F5"/>
    <mergeCell ref="P7:T7"/>
    <mergeCell ref="U7:Y7"/>
  </mergeCells>
  <pageMargins left="0.7" right="0.7" top="0.75" bottom="0.75" header="0.3" footer="0.3"/>
  <pageSetup paperSize="8" scale="44" fitToWidth="0" fitToHeight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Common - Message</vt:lpstr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phinguyen</cp:lastModifiedBy>
  <dcterms:created xsi:type="dcterms:W3CDTF">2025-04-25T10:57:00Z</dcterms:created>
  <dcterms:modified xsi:type="dcterms:W3CDTF">2026-01-12T17:05:00Z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77B75A4919406CCF4CC7646962A4D1E0_42</vt:lpwstr>
  </property>
  <property fmtid="{D5CDD505-2E9C-101B-9397-08002B2CF9AE}" pid="3" name="KSOProductBuildVer">
    <vt:lpwstr>1033-12.1.23152.23152</vt:lpwstr>
  </property>
</Properties>
</file>